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gcloudeur-my.sharepoint.com/personal/wessels_david_bcg_com/Documents/Documents/01_Personal/07_Other/30. Geburtstag/birthday-hub/"/>
    </mc:Choice>
  </mc:AlternateContent>
  <xr:revisionPtr revIDLastSave="162" documentId="13_ncr:b_{9FDDD553-8BD7-4C91-8A4E-08E7AA5C7D07}" xr6:coauthVersionLast="47" xr6:coauthVersionMax="47" xr10:uidLastSave="{58311BDB-1AD6-44FA-99D2-E234C65E03F5}"/>
  <bookViews>
    <workbookView xWindow="-60" yWindow="-16320" windowWidth="29040" windowHeight="15720" xr2:uid="{F84C07A2-B8C1-4649-9BC2-A0581D232FA6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K4" i="1" l="1" a="1"/>
  <c r="K4" i="1" s="1"/>
  <c r="K5" i="1"/>
  <c r="K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<sst xmlns="http://schemas.openxmlformats.org/spreadsheetml/2006/main" count="165" uniqueCount="81">
  <si>
    <t>ID</t>
  </si>
  <si>
    <t>Kategorie</t>
  </si>
  <si>
    <t>Frage kurz</t>
  </si>
  <si>
    <t>Frage lang</t>
  </si>
  <si>
    <t>Schwierigkeit</t>
  </si>
  <si>
    <t>Bennet &amp; David</t>
  </si>
  <si>
    <t>mittel</t>
  </si>
  <si>
    <t>schwer</t>
  </si>
  <si>
    <t>Wohnt in Berlin</t>
  </si>
  <si>
    <t>Gäste</t>
  </si>
  <si>
    <t>Hat oder macht einen Doktor</t>
  </si>
  <si>
    <t>Ist oder war Unternehmensberater</t>
  </si>
  <si>
    <t>Ist selbstständig</t>
  </si>
  <si>
    <t>Reisen</t>
  </si>
  <si>
    <t>aktiv</t>
  </si>
  <si>
    <t>leicht</t>
  </si>
  <si>
    <t>Ist oder wird Lehrer</t>
  </si>
  <si>
    <t>War in mehr als 20 Ländern</t>
  </si>
  <si>
    <t>War in Südamerika</t>
  </si>
  <si>
    <t>Aktivität</t>
  </si>
  <si>
    <t>War dieses Jahr außerhalb von Europa</t>
  </si>
  <si>
    <t>A1</t>
  </si>
  <si>
    <t>A2</t>
  </si>
  <si>
    <t>P</t>
  </si>
  <si>
    <t>B1</t>
  </si>
  <si>
    <t>B2</t>
  </si>
  <si>
    <t>Übersicht</t>
  </si>
  <si>
    <t>S</t>
  </si>
  <si>
    <t>C1</t>
  </si>
  <si>
    <t>C2</t>
  </si>
  <si>
    <t>C3</t>
  </si>
  <si>
    <t>D1</t>
  </si>
  <si>
    <t>D2</t>
  </si>
  <si>
    <t>Sonstige</t>
  </si>
  <si>
    <t>Pflicht</t>
  </si>
  <si>
    <t>Tag</t>
  </si>
  <si>
    <t>Alternative</t>
  </si>
  <si>
    <t>A1 etc.</t>
  </si>
  <si>
    <t>Finde jemanden, der/die schon mal mit Bennet oder David studiert hat.</t>
  </si>
  <si>
    <t>Finde jemanden, der/die schon mal mit Bennet oder David zusammengearbeitet hat.</t>
  </si>
  <si>
    <t>Finde jemanden, der/die mit Bennet oder David in einem Club oder Verein ist/war.</t>
  </si>
  <si>
    <t>Finde jemanden, der/die schon mal mit Bennet oder David im Skiurlaub war.</t>
  </si>
  <si>
    <t>Finde jemanden, der/die Bennet oder David schon mal nackt gesehen hat.</t>
  </si>
  <si>
    <t>Finde jemanden, der/die größer ist als Bennet und David.</t>
  </si>
  <si>
    <t>Finde jemanden, der/die Bennet oder David schon länger als 15 Jahre kennt.</t>
  </si>
  <si>
    <t>Finde jemanden, der/die Bennet oder David seit weniger als 2 Jahren kennt.</t>
  </si>
  <si>
    <t>Finde jemanden, der/die schon mal mit Bennet oder David in einem Zelt geschlafen hat.</t>
  </si>
  <si>
    <t>Finde jemanden, der/die schon mal mit Bennet oder David zwischen 6 und 9 Uhr morgens getrunken hat.</t>
  </si>
  <si>
    <t>Finde jemanden, der/die in Berlin wohnt.</t>
  </si>
  <si>
    <t>Finde jemanden, der/die neben Englisch noch eine weitere Fremdsprache spricht.</t>
  </si>
  <si>
    <t>Finde jemanden, der/die einen Doktortitel hat oder gerade macht.</t>
  </si>
  <si>
    <t>Finde jemanden, der/die Unternehmensberater(in) ist oder war.</t>
  </si>
  <si>
    <t>Finde jemanden, der/die selbstständig ist.</t>
  </si>
  <si>
    <t>Finde jemanden, der/die Lehrer(in) ist oder wird.</t>
  </si>
  <si>
    <t>Finde jemanden, den/die du heute zum ersten Mal triffst.</t>
  </si>
  <si>
    <t>Finde jemanden, der/die schon mal mehr als 5 Monate im Ausland gelebt hat.</t>
  </si>
  <si>
    <t>Finde jemanden, der/die schon mal erfolgreich einen Halbmarathon beendet hat.</t>
  </si>
  <si>
    <t>Finde jemanden, der/die schon mal in Südamerika war.</t>
  </si>
  <si>
    <t>Finde jemanden, der/die schon mal in mehr als 20 Ländern war.</t>
  </si>
  <si>
    <t>Finde jemanden, der/die einen BahnBonus-Status von Silber oder höher hat.</t>
  </si>
  <si>
    <t>Finde jemanden, der/die dieses Jahr schon außerhalb von Europa war.</t>
  </si>
  <si>
    <t>Finde jemanden, der/die gerade einen Drink mit dir geext hat.</t>
  </si>
  <si>
    <t>ja</t>
  </si>
  <si>
    <t>Spricht  eine weitere Fremdsprache</t>
  </si>
  <si>
    <t>Habe ich heute kennengelernt</t>
  </si>
  <si>
    <t>Hat mehr als 5 Monate im Ausland gelebt</t>
  </si>
  <si>
    <t>Hat Halbmarathon beendet</t>
  </si>
  <si>
    <t>Kennt Bennet / David über 15 Jahre</t>
  </si>
  <si>
    <t>Kennt Bennet / David weniger als 2 Jahre</t>
  </si>
  <si>
    <t>Mit Bennet / David studiert</t>
  </si>
  <si>
    <t>Mit Bennet / David im Skiurlaub gewesen</t>
  </si>
  <si>
    <t>Hat Bennet / David schon nackt gesehen</t>
  </si>
  <si>
    <t>Größer als Bennet &amp; David</t>
  </si>
  <si>
    <t>Mit Bennet / David  gearbeiteit</t>
  </si>
  <si>
    <t>Mit Bennet / David in  Zelt geschlafen</t>
  </si>
  <si>
    <t>Mit Bennet / David zwischen 6-9 Uhr  getrunken</t>
  </si>
  <si>
    <t>Mit Bennet / David in Club oder Verein</t>
  </si>
  <si>
    <t>Finde jemanden, der/die mit dir gemeinsam ein Foto macht und in unser App-Album hochlädt.</t>
  </si>
  <si>
    <t>Gemeinsames Foto gemacht</t>
  </si>
  <si>
    <t>Drink mit mir gerade geext</t>
  </si>
  <si>
    <t>Hat BahnBonus Status Silber oder höher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</si>
</sst>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160700-51DF-4BF1-B89D-D8B52C1CB479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6e5734fb-0792-4138-8afc-8568dd182e4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A1B6-7957-4758-94CF-92D2C54824DB}">
  <dimension ref="A1:K26"/>
  <sheetViews>
    <sheetView tabSelected="1" zoomScale="95" workbookViewId="0">
      <selection activeCell="C20" sqref="C20"/>
    </sheetView>
  </sheetViews>
  <sheetFormatPr defaultRowHeight="15" x14ac:dyDescent="0.25"/>
  <cols>
    <col min="1" max="1" width="10.85546875" customWidth="1"/>
    <col min="2" max="2" width="19.28515625" customWidth="1"/>
    <col min="3" max="3" width="39.28515625" customWidth="1"/>
    <col min="4" max="4" width="90.5703125" customWidth="1"/>
    <col min="5" max="5" width="15.5703125" bestFit="1" customWidth="1"/>
    <col min="6" max="6" width="6" customWidth="1"/>
    <col min="7" max="7" width="7.7109375" bestFit="1" customWidth="1"/>
    <col min="9" max="9" width="11.28515625" customWidth="1"/>
    <col min="10" max="10" width="11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</v>
      </c>
      <c r="G1" s="1" t="s">
        <v>14</v>
      </c>
    </row>
    <row r="2" spans="1:11" x14ac:dyDescent="0.25">
      <c r="A2">
        <v>1</v>
      </c>
      <c r="B2" t="s">
        <v>5</v>
      </c>
      <c r="C2" t="s">
        <v>69</v>
      </c>
      <c r="D2" t="s">
        <v>38</v>
      </c>
      <c r="E2" t="s">
        <v>6</v>
      </c>
      <c r="F2" t="s">
        <v>21</v>
      </c>
      <c r="G2" t="s">
        <v>62</v>
      </c>
      <c r="I2" s="2" t="s">
        <v>26</v>
      </c>
      <c r="J2" s="2" t="s">
        <v>35</v>
      </c>
      <c r="K2" s="2"/>
    </row>
    <row r="3" spans="1:11" x14ac:dyDescent="0.25">
      <c r="A3">
        <v>2</v>
      </c>
      <c r="B3" t="s">
        <v>5</v>
      </c>
      <c r="C3" t="s">
        <v>73</v>
      </c>
      <c r="D3" t="s">
        <v>39</v>
      </c>
      <c r="E3" t="s">
        <v>7</v>
      </c>
      <c r="F3" t="s">
        <v>22</v>
      </c>
      <c r="G3" t="s">
        <v>62</v>
      </c>
      <c r="I3" t="s">
        <v>34</v>
      </c>
      <c r="J3" t="s">
        <v>23</v>
      </c>
      <c r="K3">
        <f>COUNTIFS($F$1:$F$40,"P")</f>
        <v>11</v>
      </c>
    </row>
    <row r="4" spans="1:11" x14ac:dyDescent="0.25">
      <c r="A4">
        <v>3</v>
      </c>
      <c r="B4" t="s">
        <v>5</v>
      </c>
      <c r="C4" t="s">
        <v>76</v>
      </c>
      <c r="D4" t="s">
        <v>40</v>
      </c>
      <c r="E4" t="s">
        <v>15</v>
      </c>
      <c r="F4" t="s">
        <v>23</v>
      </c>
      <c r="G4" t="s">
        <v>62</v>
      </c>
      <c r="I4" t="s">
        <v>36</v>
      </c>
      <c r="J4" t="s">
        <v>37</v>
      </c>
      <c r="K4" cm="1">
        <f t="array" ref="K4">SUMPRODUCT((LEN(F2:F40)=2)*ISNUMBER(VALUE(MID(F2:F40&amp;"00",2,1)))/COUNTIF(F2:F40,LEFT(F2:F40,1)&amp;"*"))</f>
        <v>4</v>
      </c>
    </row>
    <row r="5" spans="1:11" x14ac:dyDescent="0.25">
      <c r="A5">
        <v>4</v>
      </c>
      <c r="B5" t="s">
        <v>5</v>
      </c>
      <c r="C5" t="s">
        <v>70</v>
      </c>
      <c r="D5" t="s">
        <v>41</v>
      </c>
      <c r="E5" t="s">
        <v>6</v>
      </c>
      <c r="F5" t="s">
        <v>23</v>
      </c>
      <c r="G5" t="s">
        <v>62</v>
      </c>
      <c r="I5" t="s">
        <v>33</v>
      </c>
      <c r="J5" t="s">
        <v>27</v>
      </c>
      <c r="K5">
        <f>COUNTIFS($F$1:$F$40,"S")</f>
        <v>5</v>
      </c>
    </row>
    <row r="6" spans="1:11" x14ac:dyDescent="0.25">
      <c r="A6">
        <v>5</v>
      </c>
      <c r="B6" t="s">
        <v>5</v>
      </c>
      <c r="C6" t="s">
        <v>71</v>
      </c>
      <c r="D6" t="s">
        <v>42</v>
      </c>
      <c r="E6" t="s">
        <v>6</v>
      </c>
      <c r="F6" t="s">
        <v>23</v>
      </c>
      <c r="G6" t="s">
        <v>62</v>
      </c>
    </row>
    <row r="7" spans="1:11" x14ac:dyDescent="0.25">
      <c r="A7">
        <v>6</v>
      </c>
      <c r="B7" t="s">
        <v>5</v>
      </c>
      <c r="C7" t="s">
        <v>72</v>
      </c>
      <c r="D7" t="s">
        <v>43</v>
      </c>
      <c r="E7" t="s">
        <v>15</v>
      </c>
      <c r="F7" t="s">
        <v>27</v>
      </c>
      <c r="G7" t="s">
        <v>62</v>
      </c>
    </row>
    <row r="8" spans="1:11" x14ac:dyDescent="0.25">
      <c r="A8">
        <v>7</v>
      </c>
      <c r="B8" t="s">
        <v>5</v>
      </c>
      <c r="C8" t="s">
        <v>67</v>
      </c>
      <c r="D8" t="s">
        <v>44</v>
      </c>
      <c r="E8" t="s">
        <v>15</v>
      </c>
      <c r="F8" t="s">
        <v>24</v>
      </c>
      <c r="G8" t="s">
        <v>62</v>
      </c>
    </row>
    <row r="9" spans="1:11" x14ac:dyDescent="0.25">
      <c r="A9">
        <v>8</v>
      </c>
      <c r="B9" t="s">
        <v>5</v>
      </c>
      <c r="C9" t="s">
        <v>68</v>
      </c>
      <c r="D9" t="s">
        <v>45</v>
      </c>
      <c r="E9" t="s">
        <v>7</v>
      </c>
      <c r="F9" t="s">
        <v>25</v>
      </c>
      <c r="G9" t="s">
        <v>62</v>
      </c>
    </row>
    <row r="10" spans="1:11" x14ac:dyDescent="0.25">
      <c r="A10">
        <v>9</v>
      </c>
      <c r="B10" t="s">
        <v>5</v>
      </c>
      <c r="C10" t="s">
        <v>74</v>
      </c>
      <c r="D10" t="s">
        <v>46</v>
      </c>
      <c r="E10" t="s">
        <v>15</v>
      </c>
      <c r="F10" t="s">
        <v>27</v>
      </c>
      <c r="G10" t="s">
        <v>62</v>
      </c>
    </row>
    <row r="11" spans="1:11" x14ac:dyDescent="0.25">
      <c r="A11">
        <v>10</v>
      </c>
      <c r="B11" t="s">
        <v>5</v>
      </c>
      <c r="C11" t="s">
        <v>75</v>
      </c>
      <c r="D11" t="s">
        <v>47</v>
      </c>
      <c r="E11" t="s">
        <v>15</v>
      </c>
      <c r="F11" t="s">
        <v>23</v>
      </c>
      <c r="G11" t="s">
        <v>62</v>
      </c>
    </row>
    <row r="12" spans="1:11" x14ac:dyDescent="0.25">
      <c r="A12">
        <v>11</v>
      </c>
      <c r="B12" t="s">
        <v>9</v>
      </c>
      <c r="C12" t="s">
        <v>8</v>
      </c>
      <c r="D12" t="s">
        <v>48</v>
      </c>
      <c r="E12" t="s">
        <v>6</v>
      </c>
      <c r="F12" t="s">
        <v>27</v>
      </c>
      <c r="G12" t="s">
        <v>62</v>
      </c>
    </row>
    <row r="13" spans="1:11" x14ac:dyDescent="0.25">
      <c r="A13">
        <v>12</v>
      </c>
      <c r="B13" t="s">
        <v>9</v>
      </c>
      <c r="C13" t="s">
        <v>63</v>
      </c>
      <c r="D13" t="s">
        <v>49</v>
      </c>
      <c r="E13" t="s">
        <v>7</v>
      </c>
      <c r="F13" t="s">
        <v>23</v>
      </c>
      <c r="G13" t="s">
        <v>62</v>
      </c>
    </row>
    <row r="14" spans="1:11" x14ac:dyDescent="0.25">
      <c r="A14">
        <v>13</v>
      </c>
      <c r="B14" t="s">
        <v>9</v>
      </c>
      <c r="C14" t="s">
        <v>10</v>
      </c>
      <c r="D14" t="s">
        <v>50</v>
      </c>
      <c r="E14" t="s">
        <v>15</v>
      </c>
      <c r="F14" t="s">
        <v>23</v>
      </c>
      <c r="G14" t="s">
        <v>62</v>
      </c>
    </row>
    <row r="15" spans="1:11" x14ac:dyDescent="0.25">
      <c r="A15">
        <v>14</v>
      </c>
      <c r="B15" t="s">
        <v>9</v>
      </c>
      <c r="C15" t="s">
        <v>11</v>
      </c>
      <c r="D15" t="s">
        <v>51</v>
      </c>
      <c r="E15" t="s">
        <v>6</v>
      </c>
      <c r="F15" t="s">
        <v>28</v>
      </c>
      <c r="G15" t="s">
        <v>62</v>
      </c>
    </row>
    <row r="16" spans="1:11" x14ac:dyDescent="0.25">
      <c r="A16">
        <v>15</v>
      </c>
      <c r="B16" t="s">
        <v>9</v>
      </c>
      <c r="C16" t="s">
        <v>12</v>
      </c>
      <c r="D16" t="s">
        <v>52</v>
      </c>
      <c r="E16" t="s">
        <v>7</v>
      </c>
      <c r="F16" t="s">
        <v>29</v>
      </c>
      <c r="G16" t="s">
        <v>62</v>
      </c>
    </row>
    <row r="17" spans="1:7" x14ac:dyDescent="0.25">
      <c r="A17">
        <v>16</v>
      </c>
      <c r="B17" t="s">
        <v>9</v>
      </c>
      <c r="C17" t="s">
        <v>16</v>
      </c>
      <c r="D17" t="s">
        <v>53</v>
      </c>
      <c r="E17" t="s">
        <v>6</v>
      </c>
      <c r="F17" t="s">
        <v>30</v>
      </c>
      <c r="G17" t="s">
        <v>62</v>
      </c>
    </row>
    <row r="18" spans="1:7" x14ac:dyDescent="0.25">
      <c r="A18">
        <v>17</v>
      </c>
      <c r="B18" t="s">
        <v>9</v>
      </c>
      <c r="C18" t="s">
        <v>64</v>
      </c>
      <c r="D18" t="s">
        <v>54</v>
      </c>
      <c r="E18" t="s">
        <v>6</v>
      </c>
      <c r="F18" t="s">
        <v>23</v>
      </c>
      <c r="G18" t="s">
        <v>62</v>
      </c>
    </row>
    <row r="19" spans="1:7" x14ac:dyDescent="0.25">
      <c r="A19">
        <v>18</v>
      </c>
      <c r="B19" t="s">
        <v>9</v>
      </c>
      <c r="C19" t="s">
        <v>65</v>
      </c>
      <c r="D19" t="s">
        <v>55</v>
      </c>
      <c r="E19" t="s">
        <v>6</v>
      </c>
      <c r="F19" t="s">
        <v>23</v>
      </c>
      <c r="G19" t="s">
        <v>62</v>
      </c>
    </row>
    <row r="20" spans="1:7" x14ac:dyDescent="0.25">
      <c r="A20">
        <v>19</v>
      </c>
      <c r="B20" t="s">
        <v>9</v>
      </c>
      <c r="C20" t="s">
        <v>66</v>
      </c>
      <c r="D20" t="s">
        <v>56</v>
      </c>
      <c r="E20" t="s">
        <v>6</v>
      </c>
      <c r="F20" t="s">
        <v>27</v>
      </c>
      <c r="G20" t="s">
        <v>62</v>
      </c>
    </row>
    <row r="21" spans="1:7" x14ac:dyDescent="0.25">
      <c r="A21">
        <v>20</v>
      </c>
      <c r="B21" t="s">
        <v>13</v>
      </c>
      <c r="C21" t="s">
        <v>18</v>
      </c>
      <c r="D21" t="s">
        <v>57</v>
      </c>
      <c r="E21" t="s">
        <v>7</v>
      </c>
      <c r="F21" t="s">
        <v>31</v>
      </c>
      <c r="G21" t="s">
        <v>62</v>
      </c>
    </row>
    <row r="22" spans="1:7" x14ac:dyDescent="0.25">
      <c r="A22">
        <v>21</v>
      </c>
      <c r="B22" t="s">
        <v>13</v>
      </c>
      <c r="C22" t="s">
        <v>17</v>
      </c>
      <c r="D22" t="s">
        <v>58</v>
      </c>
      <c r="E22" t="s">
        <v>7</v>
      </c>
      <c r="F22" t="s">
        <v>32</v>
      </c>
      <c r="G22" t="s">
        <v>62</v>
      </c>
    </row>
    <row r="23" spans="1:7" x14ac:dyDescent="0.25">
      <c r="A23">
        <v>22</v>
      </c>
      <c r="B23" t="s">
        <v>13</v>
      </c>
      <c r="C23" t="s">
        <v>80</v>
      </c>
      <c r="D23" t="s">
        <v>59</v>
      </c>
      <c r="E23" t="s">
        <v>6</v>
      </c>
      <c r="F23" t="s">
        <v>27</v>
      </c>
      <c r="G23" t="s">
        <v>62</v>
      </c>
    </row>
    <row r="24" spans="1:7" x14ac:dyDescent="0.25">
      <c r="A24">
        <v>23</v>
      </c>
      <c r="B24" t="s">
        <v>13</v>
      </c>
      <c r="C24" t="s">
        <v>20</v>
      </c>
      <c r="D24" t="s">
        <v>60</v>
      </c>
      <c r="E24" t="s">
        <v>6</v>
      </c>
      <c r="F24" t="s">
        <v>23</v>
      </c>
      <c r="G24" t="s">
        <v>62</v>
      </c>
    </row>
    <row r="25" spans="1:7" x14ac:dyDescent="0.25">
      <c r="A25">
        <v>24</v>
      </c>
      <c r="B25" t="s">
        <v>19</v>
      </c>
      <c r="C25" t="s">
        <v>79</v>
      </c>
      <c r="D25" t="s">
        <v>61</v>
      </c>
      <c r="E25" t="s">
        <v>6</v>
      </c>
      <c r="F25" t="s">
        <v>23</v>
      </c>
      <c r="G25" t="s">
        <v>62</v>
      </c>
    </row>
    <row r="26" spans="1:7" x14ac:dyDescent="0.25">
      <c r="A26">
        <v>25</v>
      </c>
      <c r="B26" t="s">
        <v>19</v>
      </c>
      <c r="C26" t="s">
        <v>78</v>
      </c>
      <c r="D26" t="s">
        <v>77</v>
      </c>
      <c r="E26" t="s">
        <v>15</v>
      </c>
      <c r="F26" t="s">
        <v>23</v>
      </c>
      <c r="G26" t="s">
        <v>62</v>
      </c>
    </row>
  </sheetData>
  <autoFilter ref="A1:G1" xr:uid="{E2DFA1B6-7957-4758-94CF-92D2C54824D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Wessels, David</dc:creator>
  <cp:lastModifiedBy>Wessels, David</cp:lastModifiedBy>
  <dcterms:created xsi:type="dcterms:W3CDTF">2026-09-13T14:14:23Z</dcterms:created>
  <dcterms:modified xsi:type="dcterms:W3CDTF">2026-09-13T18:12:35Z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2026-09-13T14:17:31Z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9df2c0cc-c6ca-4d8f-8431-a313724b6d87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10, 3, 0, 1</vt:lpwstr>
  </property>
</Properties>
</file>